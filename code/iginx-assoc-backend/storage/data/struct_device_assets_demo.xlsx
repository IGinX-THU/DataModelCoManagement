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毕设\基于IGinX的数据与模型智能关联管理系统设计与实现\code\iginx-assoc-backend\storage\data\"/>
    </mc:Choice>
  </mc:AlternateContent>
  <xr:revisionPtr revIDLastSave="0" documentId="13_ncr:1_{D982D419-5D35-43E9-9293-8DCD16502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ices" sheetId="1" r:id="rId1"/>
  </sheets>
  <calcPr calcId="191029"/>
</workbook>
</file>

<file path=xl/calcChain.xml><?xml version="1.0" encoding="utf-8"?>
<calcChain xmlns="http://schemas.openxmlformats.org/spreadsheetml/2006/main">
  <c r="A6" i="1" l="1"/>
  <c r="A5" i="1"/>
  <c r="A4" i="1"/>
  <c r="A3" i="1"/>
  <c r="A2" i="1"/>
</calcChain>
</file>

<file path=xl/sharedStrings.xml><?xml version="1.0" encoding="utf-8"?>
<sst xmlns="http://schemas.openxmlformats.org/spreadsheetml/2006/main" count="55" uniqueCount="49">
  <si>
    <t>device_id</t>
  </si>
  <si>
    <t>device_name</t>
  </si>
  <si>
    <t>device_type</t>
  </si>
  <si>
    <t>status</t>
  </si>
  <si>
    <t>install_date</t>
  </si>
  <si>
    <t>location</t>
  </si>
  <si>
    <t>last_maintain</t>
  </si>
  <si>
    <t>firmware_version</t>
  </si>
  <si>
    <t>owner</t>
  </si>
  <si>
    <t>notes</t>
  </si>
  <si>
    <t>热泵主机A</t>
  </si>
  <si>
    <t>Pump</t>
  </si>
  <si>
    <t>ACTIVE</t>
  </si>
  <si>
    <t>2022-05-01</t>
  </si>
  <si>
    <t>厦门机房A1</t>
  </si>
  <si>
    <t>2023-12-15</t>
  </si>
  <si>
    <t>v3.2.1</t>
  </si>
  <si>
    <t>研发一部</t>
  </si>
  <si>
    <t>首次导入</t>
  </si>
  <si>
    <t>热泵主机B</t>
  </si>
  <si>
    <t>INACTIVE</t>
  </si>
  <si>
    <t>2021-11-12</t>
  </si>
  <si>
    <t>厦门机房A2</t>
  </si>
  <si>
    <t>2023-10-08</t>
  </si>
  <si>
    <t>v3.1.4</t>
  </si>
  <si>
    <t>研发二部</t>
  </si>
  <si>
    <t>停机检修</t>
  </si>
  <si>
    <t>循环泵C</t>
  </si>
  <si>
    <t>2023-03-28</t>
  </si>
  <si>
    <t>厦门机房B1</t>
  </si>
  <si>
    <t>2024-01-05</t>
  </si>
  <si>
    <t>v3.3.0</t>
  </si>
  <si>
    <t>运维中心</t>
  </si>
  <si>
    <t>预留备件</t>
  </si>
  <si>
    <t>换热器D</t>
  </si>
  <si>
    <t>HeatExchanger</t>
  </si>
  <si>
    <t>2020-08-20</t>
  </si>
  <si>
    <t>厦门机房B2</t>
  </si>
  <si>
    <t>2023-11-30</t>
  </si>
  <si>
    <t>v2.9.8</t>
  </si>
  <si>
    <t>已升级</t>
  </si>
  <si>
    <t>冷凝器E</t>
  </si>
  <si>
    <t>Condenser</t>
  </si>
  <si>
    <t>2021-01-10</t>
  </si>
  <si>
    <t>厦门机房C1</t>
  </si>
  <si>
    <t>2022-09-18</t>
  </si>
  <si>
    <t>v2.8.3</t>
  </si>
  <si>
    <t>供应链</t>
  </si>
  <si>
    <t>待报废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</si>
</sst>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I11" sqref="I11"/>
    </sheetView>
  </sheetViews>
  <sheetFormatPr defaultRowHeight="13.5" x14ac:dyDescent="0.15"/>
  <cols>
    <col min="1" max="1" width="9" style="1"/>
  </cols>
  <sheetData>
    <row r="1" spans="1:10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s="1">
        <f>VALUE(1001)</f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15">
      <c r="A3" s="1">
        <f>VALUE(1002)</f>
        <v>1002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15">
      <c r="A4" s="1">
        <f>VALUE(1003)</f>
        <v>1003</v>
      </c>
      <c r="B4" t="s">
        <v>27</v>
      </c>
      <c r="C4" t="s">
        <v>11</v>
      </c>
      <c r="D4" t="s">
        <v>12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15">
      <c r="A5" s="1">
        <f>VALUE(1004)</f>
        <v>1004</v>
      </c>
      <c r="B5" t="s">
        <v>34</v>
      </c>
      <c r="C5" t="s">
        <v>35</v>
      </c>
      <c r="D5" t="s">
        <v>12</v>
      </c>
      <c r="E5" t="s">
        <v>36</v>
      </c>
      <c r="F5" t="s">
        <v>37</v>
      </c>
      <c r="G5" t="s">
        <v>38</v>
      </c>
      <c r="H5" t="s">
        <v>39</v>
      </c>
      <c r="I5" t="s">
        <v>32</v>
      </c>
      <c r="J5" t="s">
        <v>40</v>
      </c>
    </row>
    <row r="6" spans="1:10" x14ac:dyDescent="0.15">
      <c r="A6" s="1">
        <f>VALUE(1005)</f>
        <v>1005</v>
      </c>
      <c r="B6" t="s">
        <v>41</v>
      </c>
      <c r="C6" t="s">
        <v>42</v>
      </c>
      <c r="D6" t="s">
        <v>20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伟鑫 洪</cp:lastModifiedBy>
  <dcterms:created xsi:type="dcterms:W3CDTF">2026-02-08T15:35:12Z</dcterms:created>
  <dcterms:modified xsi:type="dcterms:W3CDTF">2026-02-08T16:18:40Z</dcterms:modified>
</cp:coreProperties>
</file>